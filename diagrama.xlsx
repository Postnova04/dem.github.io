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<sst xmlns="http://schemas.openxmlformats.org/spreadsheetml/2006/main" xmlns:a="http://schemas.openxmlformats.org/drawingml/2006/main" xmlns:a15="http://schemas.microsoft.com/office/drawing/2012/main" xmlns:asvg="http://schemas.microsoft.com/office/drawing/2016/SVG/main" xmlns:c="http://schemas.openxmlformats.org/drawingml/2006/chart" xmlns:co="http://ncloudtech.com" xmlns:co-ooxml="http://ncloudtech.com/ooxml" xmlns:m="http://schemas.openxmlformats.org/officeDocument/2006/math" xmlns:mc="http://schemas.openxmlformats.org/markup-compatibility/2006" xmlns:o="urn:schemas-microsoft-com:office:office" xmlns:p="http://schemas.openxmlformats.org/presentationml/2006/main" xmlns:pic="http://schemas.openxmlformats.org/drawingml/2006/picture" xmlns:r="http://schemas.openxmlformats.org/officeDocument/2006/relationships" xmlns:s="http://schemas.openxmlformats.org/officeDocument/2006/sharedTypes" xmlns:sl="http://schemas.openxmlformats.org/schemaLibrary/2006/main" xmlns:v="urn:schemas-microsoft-com:vml" xmlns:w="http://schemas.openxmlformats.org/wordprocessingml/2006/main" xmlns:w10="urn:schemas-microsoft-com:office:word" xmlns:w14="http://schemas.microsoft.com/office/word/2010/wordml" xmlns:w15="http://schemas.microsoft.com/office/word/2012/wordml" xmlns:wp="http://schemas.openxmlformats.org/drawingml/2006/wordprocessingDrawing" xmlns:wpg="http://schemas.microsoft.com/office/word/2010/wordprocessingGroup" xmlns:wps="http://schemas.microsoft.com/office/word/2010/wordprocessingShape" xmlns:x="urn:schemas-microsoft-com:office:excel" xmlns:x12ac="http://schemas.microsoft.com/office/spreadsheetml/2011/1/ac" xmlns:x14="http://schemas.microsoft.com/office/spreadsheetml/2009/9/main" xmlns:xdr="http://schemas.openxmlformats.org/drawingml/2006/spreadsheetDrawing" xmlns:xm="http://schemas.microsoft.com/office/excel/2006/main" mc:Ignorable="co co-ooxml w14 x14 w15">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</sst>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applyNumberFormat="true" borderId="0" fillId="0" fontId="1" numFmtId="14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>
      <c:tx>
        <c:rich>
          <a:bodyPr/>
          <a:lstStyle>
            <a:defPPr/>
            <a:lvl1pPr lvl="0"/>
            <a:lvl2pPr lvl="1"/>
            <a:lvl3pPr lvl="2"/>
            <a:lvl4pPr lvl="3"/>
            <a:lvl5pPr lvl="4"/>
            <a:lvl6pPr lvl="5"/>
            <a:lvl7pPr lvl="6"/>
            <a:lvl8pPr lvl="7"/>
            <a:lvl9pPr lvl="8"/>
          </a:lstStyle>
          <a:p>
            <a:r>
              <a:t>Cтолбец A</a:t>
            </a:r>
          </a:p>
        </c:rich>
      </c:tx>
    </c:title>
    <c:autoTitleDeleted val="false"/>
    <c:plotArea>
      <c:pieChart>
        <c:varyColors val="true"/>
        <c:ser>
          <c:idx val="0"/>
          <c:order val="0"/>
          <c:spPr/>
          <c:dPt>
            <c:idx val="0"/>
            <c:spPr>
              <a:solidFill>
                <a:schemeClr val="accent1">
                  <a:lumMod val="100000"/>
                  <a:lumOff val="0"/>
                </a:schemeClr>
              </a:solidFill>
            </c:spPr>
          </c:dPt>
          <c:dPt>
            <c:idx val="1"/>
            <c:spPr>
              <a:solidFill>
                <a:schemeClr val="accent2">
                  <a:lumMod val="100000"/>
                  <a:lumOff val="0"/>
                </a:schemeClr>
              </a:solidFill>
            </c:spPr>
          </c:dPt>
          <c:dPt>
            <c:idx val="2"/>
            <c:spPr>
              <a:solidFill>
                <a:schemeClr val="accent3">
                  <a:lumMod val="100000"/>
                  <a:lumOff val="0"/>
                </a:schemeClr>
              </a:solidFill>
            </c:spPr>
          </c:dPt>
          <c:dPt>
            <c:idx val="3"/>
            <c:spPr>
              <a:solidFill>
                <a:schemeClr val="accent4">
                  <a:lumMod val="100000"/>
                  <a:lumOff val="0"/>
                </a:schemeClr>
              </a:solidFill>
            </c:spPr>
          </c:dPt>
          <c:val>
            <c:numRef>
              <c:f>'Лист1'!A1:A4</c:f>
            </c:numRef>
          </c:val>
        </c:ser>
        <c:dLbls>
          <c:showVal val="true"/>
          <c:showPercent val="true"/>
        </c:dLbls>
      </c:pieChart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1066800" y="276225"/>
    <xdr:ext cx="3740150" cy="2752725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3</v>
      </c>
      <c r="B1" s="0" t="n">
        <v>4</v>
      </c>
      <c r="C1" s="0" t="n">
        <v>5</v>
      </c>
      <c r="D1" s="0" t="n">
        <v>7</v>
      </c>
      <c r="E1" s="0" t="n">
        <v>1</v>
      </c>
      <c r="F1" s="0" t="n">
        <v>2</v>
      </c>
    </row>
    <row outlineLevel="0" r="2">
      <c r="A2" s="0" t="n">
        <v>7</v>
      </c>
      <c r="B2" s="0" t="n">
        <v>5</v>
      </c>
      <c r="C2" s="0" t="n">
        <v>7</v>
      </c>
      <c r="D2" s="0" t="n">
        <v>4</v>
      </c>
      <c r="E2" s="0" t="n">
        <v>0</v>
      </c>
      <c r="F2" s="0" t="n">
        <v>9</v>
      </c>
    </row>
    <row outlineLevel="0" r="3">
      <c r="A3" s="0" t="n">
        <v>3</v>
      </c>
      <c r="B3" s="0" t="n">
        <v>6</v>
      </c>
      <c r="C3" s="0" t="n">
        <v>4</v>
      </c>
      <c r="D3" s="0" t="n">
        <v>8</v>
      </c>
      <c r="E3" s="0" t="n">
        <v>6</v>
      </c>
      <c r="F3" s="0" t="n">
        <v>5</v>
      </c>
    </row>
    <row outlineLevel="0" r="4">
      <c r="A4" s="0" t="n">
        <v>4</v>
      </c>
      <c r="B4" s="0" t="n">
        <v>5</v>
      </c>
      <c r="C4" s="0" t="n">
        <v>8</v>
      </c>
      <c r="D4" s="0" t="n">
        <v>9</v>
      </c>
      <c r="E4" s="0" t="n">
        <v>6</v>
      </c>
      <c r="F4" s="0" t="n">
        <v>0</v>
      </c>
    </row>
    <row outlineLevel="0" r="5">
      <c r="A5" s="0" t="n">
        <f aca="false" ca="false" dt2D="false" dtr="false" t="normal">MIN(A1:A4)</f>
        <v>3</v>
      </c>
      <c r="B5" s="0" t="n">
        <f aca="false" ca="false" dt2D="false" dtr="false" t="normal">MIN(B1:B4)</f>
        <v>4</v>
      </c>
      <c r="C5" s="0" t="n">
        <f aca="false" ca="false" dt2D="false" dtr="false" t="normal">MIN(C1:C4)</f>
        <v>4</v>
      </c>
      <c r="D5" s="0" t="n">
        <f aca="false" ca="false" dt2D="false" dtr="false" t="normal">MIN(D1:D4)</f>
        <v>4</v>
      </c>
      <c r="E5" s="0" t="n">
        <f aca="false" ca="false" dt2D="false" dtr="false" t="normal">MIN(E1:E4)</f>
        <v>0</v>
      </c>
      <c r="F5" s="0" t="n">
        <f aca="false" ca="false" dt2D="false" dtr="false" t="normal">MIN(F1:F4)</f>
        <v>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/>
      <c r="B1" s="0" t="n"/>
      <c r="C1" s="0" t="n"/>
      <c r="D1" s="0" t="n"/>
      <c r="E1" s="0" t="n"/>
      <c r="F1" s="0" t="n"/>
    </row>
    <row outlineLevel="0" r="2">
      <c r="A2" s="0" t="n"/>
      <c r="B2" s="0" t="n"/>
      <c r="C2" s="0" t="n"/>
      <c r="D2" s="0" t="n"/>
      <c r="E2" s="0" t="n"/>
      <c r="F2" s="0" t="n"/>
      <c r="H2" s="0" t="n">
        <f aca="false" ca="false" dt2D="false" dtr="false" t="normal">('Лист1'!A3+'Лист1'!B2)*'Лист1'!C4*('Лист1'!F1-'Лист1'!E1)</f>
        <v>64</v>
      </c>
    </row>
    <row outlineLevel="0" r="3">
      <c r="A3" s="0" t="n"/>
      <c r="B3" s="0" t="n"/>
      <c r="C3" s="0" t="n"/>
      <c r="D3" s="0" t="n"/>
      <c r="E3" s="0" t="n"/>
      <c r="F3" s="0" t="n"/>
    </row>
    <row outlineLevel="0" r="4">
      <c r="A4" s="0" t="n"/>
      <c r="B4" s="0" t="n"/>
      <c r="C4" s="0" t="n"/>
      <c r="D4" s="0" t="n"/>
      <c r="E4" s="0" t="n"/>
      <c r="F4" s="0" t="n"/>
      <c r="G4" s="0" t="s">
        <v>0</v>
      </c>
      <c r="H4" s="0" t="s">
        <v>0</v>
      </c>
    </row>
    <row outlineLevel="0" r="5">
      <c r="H5" s="0" t="n">
        <f aca="false" ca="false" dt2D="false" dtr="false" t="normal">'Лист1'!C3*('Лист1'!E1+'Лист1'!F3)*('Лист1'!$A4-'Лист1'!A3)</f>
        <v>24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H2" s="0" t="n">
        <f aca="false" ca="false" dt2D="false" dtr="false" t="normal">SUM('Лист1'!A2:B2, 'Лист1'!E2:F2)</f>
        <v>21</v>
      </c>
    </row>
    <row outlineLevel="0" r="4">
      <c r="H4" s="0" t="s">
        <v>0</v>
      </c>
    </row>
    <row outlineLevel="0" r="5">
      <c r="H5" s="0" t="n">
        <f aca="false" ca="false" dt2D="false" dtr="false" t="normal">SUM('Лист1'!$A$2:$B$2, 'Лист1'!E2:F2)</f>
        <v>21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1" t="n">
        <v>39448</v>
      </c>
      <c r="F1" s="1" t="n">
        <v>39558</v>
      </c>
    </row>
    <row outlineLevel="0" r="2">
      <c r="A2" s="1" t="n">
        <f aca="false" ca="false" dt2D="false" dtr="false" t="normal">A1+30</f>
        <v>39478</v>
      </c>
      <c r="F2" s="1" t="n">
        <f aca="false" ca="false" dt2D="false" dtr="false" t="normal">F1+21</f>
        <v>39579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/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2026-05-13T07:06:42Z</dcterms:created>
  <dcterms:modified xsi:type="dcterms:W3CDTF">2026-05-13T07:08:05Z</dcterms:modified>
</cp:coreProperties>
</file>